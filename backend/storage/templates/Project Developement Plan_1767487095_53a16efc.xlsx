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kzi\Downloads\"/>
    </mc:Choice>
  </mc:AlternateContent>
  <xr:revisionPtr revIDLastSave="0" documentId="8_{7E5E03E1-399E-46F3-8EA7-1110E1A3681F}" xr6:coauthVersionLast="47" xr6:coauthVersionMax="47" xr10:uidLastSave="{00000000-0000-0000-0000-000000000000}"/>
  <bookViews>
    <workbookView showHorizontalScroll="0" showVerticalScroll="0" xWindow="6792" yWindow="576" windowWidth="23040" windowHeight="15288" xr2:uid="{00000000-000D-0000-FFFF-FFFF00000000}"/>
  </bookViews>
  <sheets>
    <sheet name="Software Dev Gantt Char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7" l="1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10" i="7"/>
  <c r="C34" i="7"/>
  <c r="C33" i="7"/>
  <c r="C32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10" i="7"/>
  <c r="C35" i="7" s="1"/>
  <c r="C36" i="7" l="1"/>
</calcChain>
</file>

<file path=xl/sharedStrings.xml><?xml version="1.0" encoding="utf-8"?>
<sst xmlns="http://schemas.openxmlformats.org/spreadsheetml/2006/main" count="73" uniqueCount="39">
  <si>
    <t>Project Name:</t>
  </si>
  <si>
    <t>Task Name</t>
  </si>
  <si>
    <t>Start  (Date)</t>
  </si>
  <si>
    <t>End  (Date)</t>
  </si>
  <si>
    <t>High</t>
  </si>
  <si>
    <t>Medium</t>
  </si>
  <si>
    <t>Priority</t>
  </si>
  <si>
    <t>Percentage of Completion</t>
  </si>
  <si>
    <t>Front-end development</t>
  </si>
  <si>
    <t>Back-end development</t>
  </si>
  <si>
    <t>Unit testing</t>
  </si>
  <si>
    <t>Go-live and release</t>
  </si>
  <si>
    <t>Final project review</t>
  </si>
  <si>
    <t>Project requirements</t>
  </si>
  <si>
    <t>Define scope</t>
  </si>
  <si>
    <t>Risk management plan</t>
  </si>
  <si>
    <t>UI prototypes</t>
  </si>
  <si>
    <t>Technical architecture</t>
  </si>
  <si>
    <t>Design approval</t>
  </si>
  <si>
    <t>Development environment</t>
  </si>
  <si>
    <t>Database setup</t>
  </si>
  <si>
    <t>API development</t>
  </si>
  <si>
    <t>User acceptance test</t>
  </si>
  <si>
    <t>Bug fixes</t>
  </si>
  <si>
    <t>Deployment environment</t>
  </si>
  <si>
    <t>Performance tracking</t>
  </si>
  <si>
    <t>Assigned To</t>
  </si>
  <si>
    <t>Estimated Days</t>
  </si>
  <si>
    <t>Actual Days</t>
  </si>
  <si>
    <t>Dependencies</t>
  </si>
  <si>
    <t>Comments</t>
  </si>
  <si>
    <t>Completed</t>
  </si>
  <si>
    <t>Project Start Date</t>
  </si>
  <si>
    <t>Project End Date</t>
  </si>
  <si>
    <t>Total Planned Days</t>
  </si>
  <si>
    <t>Days Balance</t>
  </si>
  <si>
    <t>Task Status</t>
  </si>
  <si>
    <t>On time</t>
  </si>
  <si>
    <t>Project Development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</si>
</sst>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2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top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0" fillId="2" borderId="1" xfId="0" applyFill="1" applyBorder="1" applyProtection="1">
      <protection locked="0"/>
    </xf>
    <xf numFmtId="0" fontId="2" fillId="2" borderId="0" xfId="1" applyFill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1" fillId="2" borderId="0" xfId="0" applyFont="1" applyFill="1" applyAlignment="1" applyProtection="1">
      <alignment horizontal="center" vertical="top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left"/>
      <protection locked="0"/>
    </xf>
    <xf numFmtId="14" fontId="0" fillId="2" borderId="2" xfId="0" applyNumberFormat="1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9" fillId="2" borderId="0" xfId="0" applyFont="1" applyFill="1" applyProtection="1">
      <protection locked="0"/>
    </xf>
    <xf numFmtId="9" fontId="0" fillId="2" borderId="0" xfId="2" applyFont="1" applyFill="1" applyAlignment="1" applyProtection="1">
      <alignment horizontal="center"/>
      <protection locked="0"/>
    </xf>
    <xf numFmtId="9" fontId="0" fillId="2" borderId="1" xfId="2" applyFont="1" applyFill="1" applyBorder="1" applyAlignment="1" applyProtection="1">
      <alignment horizontal="center"/>
      <protection locked="0"/>
    </xf>
    <xf numFmtId="9" fontId="0" fillId="2" borderId="0" xfId="2" applyFont="1" applyFill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7" fillId="2" borderId="0" xfId="0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9" fontId="8" fillId="3" borderId="5" xfId="2" applyFont="1" applyFill="1" applyBorder="1" applyAlignment="1" applyProtection="1">
      <alignment horizontal="center" vertical="center" wrapText="1"/>
      <protection locked="0"/>
    </xf>
    <xf numFmtId="0" fontId="8" fillId="3" borderId="8" xfId="0" applyFont="1" applyFill="1" applyBorder="1" applyAlignment="1" applyProtection="1">
      <alignment vertical="center" wrapText="1"/>
      <protection locked="0"/>
    </xf>
    <xf numFmtId="0" fontId="8" fillId="3" borderId="8" xfId="0" applyFont="1" applyFill="1" applyBorder="1" applyAlignment="1" applyProtection="1">
      <alignment horizontal="center" vertical="center" wrapText="1"/>
      <protection locked="0"/>
    </xf>
    <xf numFmtId="0" fontId="0" fillId="2" borderId="2" xfId="0" applyFont="1" applyFill="1" applyBorder="1" applyAlignment="1" applyProtection="1">
      <alignment horizontal="center" vertical="center"/>
      <protection locked="0"/>
    </xf>
    <xf numFmtId="0" fontId="0" fillId="2" borderId="4" xfId="0" applyFont="1" applyFill="1" applyBorder="1" applyAlignment="1" applyProtection="1">
      <alignment horizontal="center" vertical="center"/>
      <protection locked="0"/>
    </xf>
    <xf numFmtId="0" fontId="0" fillId="2" borderId="9" xfId="0" applyFont="1" applyFill="1" applyBorder="1" applyAlignment="1" applyProtection="1">
      <alignment horizontal="center" vertical="center"/>
      <protection locked="0"/>
    </xf>
    <xf numFmtId="0" fontId="8" fillId="3" borderId="10" xfId="0" applyFont="1" applyFill="1" applyBorder="1" applyAlignment="1" applyProtection="1">
      <alignment horizontal="center" vertical="center" wrapText="1"/>
      <protection locked="0"/>
    </xf>
    <xf numFmtId="0" fontId="8" fillId="3" borderId="10" xfId="0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10" fillId="3" borderId="2" xfId="0" applyFont="1" applyFill="1" applyBorder="1" applyProtection="1">
      <protection locked="0"/>
    </xf>
    <xf numFmtId="2" fontId="0" fillId="2" borderId="7" xfId="2" applyNumberFormat="1" applyFont="1" applyFill="1" applyBorder="1" applyAlignment="1" applyProtection="1">
      <alignment horizontal="center"/>
      <protection locked="0"/>
    </xf>
  </cellXfs>
  <cellStyles count="3">
    <cellStyle name="Hiperłącze" xfId="1" builtinId="8"/>
    <cellStyle name="Normalny" xfId="0" builtinId="0"/>
    <cellStyle name="Procentowy" xfId="2" builtinId="5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  <protection locked="0" hidden="0"/>
    </dxf>
    <dxf>
      <border>
        <top style="thin">
          <color rgb="FF000000"/>
        </top>
      </border>
    </dxf>
    <dxf>
      <border outline="0"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</dxfs>
  <tableStyles count="0" defaultTableStyle="TableStyleMedium2" defaultPivotStyle="PivotStyleLight16"/>
  <colors>
    <mruColors>
      <color rgb="FF2327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'Software Dev Gantt Chart'!$D$10:$D$27</c:f>
              <c:strCache>
                <c:ptCount val="18"/>
                <c:pt idx="0">
                  <c:v>10.01.2025</c:v>
                </c:pt>
                <c:pt idx="1">
                  <c:v>19.01.2025</c:v>
                </c:pt>
                <c:pt idx="2">
                  <c:v>10.02.2025</c:v>
                </c:pt>
                <c:pt idx="3">
                  <c:v>20.02.2025</c:v>
                </c:pt>
                <c:pt idx="4">
                  <c:v>05.03.2025</c:v>
                </c:pt>
                <c:pt idx="5">
                  <c:v>15.03.2025</c:v>
                </c:pt>
                <c:pt idx="6">
                  <c:v>30.03.2025</c:v>
                </c:pt>
                <c:pt idx="7">
                  <c:v>25.04.2025</c:v>
                </c:pt>
                <c:pt idx="8">
                  <c:v>25.05.2025</c:v>
                </c:pt>
                <c:pt idx="9">
                  <c:v>15.06.2025</c:v>
                </c:pt>
                <c:pt idx="10">
                  <c:v>30.06.2025</c:v>
                </c:pt>
                <c:pt idx="11">
                  <c:v>30.07.2025</c:v>
                </c:pt>
                <c:pt idx="12">
                  <c:v>15.08.2025</c:v>
                </c:pt>
                <c:pt idx="13">
                  <c:v>30.08.2025</c:v>
                </c:pt>
                <c:pt idx="14">
                  <c:v>15.09.2025</c:v>
                </c:pt>
                <c:pt idx="15">
                  <c:v>10.10.2025</c:v>
                </c:pt>
                <c:pt idx="16">
                  <c:v>31.10.2025</c:v>
                </c:pt>
                <c:pt idx="17">
                  <c:v>08.11.2025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'Software Dev Gantt Chart'!$B$10:$B$27</c:f>
              <c:strCache>
                <c:ptCount val="18"/>
                <c:pt idx="0">
                  <c:v>Project requirements</c:v>
                </c:pt>
                <c:pt idx="1">
                  <c:v>Define scope</c:v>
                </c:pt>
                <c:pt idx="2">
                  <c:v>Risk management plan</c:v>
                </c:pt>
                <c:pt idx="3">
                  <c:v>UI prototypes</c:v>
                </c:pt>
                <c:pt idx="4">
                  <c:v>Technical architecture</c:v>
                </c:pt>
                <c:pt idx="5">
                  <c:v>Design approval</c:v>
                </c:pt>
                <c:pt idx="6">
                  <c:v>Development environment</c:v>
                </c:pt>
                <c:pt idx="7">
                  <c:v>Front-end development</c:v>
                </c:pt>
                <c:pt idx="8">
                  <c:v>Back-end development</c:v>
                </c:pt>
                <c:pt idx="9">
                  <c:v>Database setup</c:v>
                </c:pt>
                <c:pt idx="10">
                  <c:v>API development</c:v>
                </c:pt>
                <c:pt idx="11">
                  <c:v>Unit testing</c:v>
                </c:pt>
                <c:pt idx="12">
                  <c:v>User acceptance test</c:v>
                </c:pt>
                <c:pt idx="13">
                  <c:v>Bug fixes</c:v>
                </c:pt>
                <c:pt idx="14">
                  <c:v>Deployment environment</c:v>
                </c:pt>
                <c:pt idx="15">
                  <c:v>Go-live and release</c:v>
                </c:pt>
                <c:pt idx="16">
                  <c:v>Performance tracking</c:v>
                </c:pt>
                <c:pt idx="17">
                  <c:v>Final project review</c:v>
                </c:pt>
              </c:strCache>
            </c:strRef>
          </c:cat>
          <c:val>
            <c:numRef>
              <c:f>'Software Dev Gantt Chart'!$C$10:$C$27</c:f>
              <c:numCache>
                <c:formatCode>m/d/yyyy</c:formatCode>
                <c:ptCount val="18"/>
                <c:pt idx="0">
                  <c:v>45661</c:v>
                </c:pt>
                <c:pt idx="1">
                  <c:v>45668</c:v>
                </c:pt>
                <c:pt idx="2">
                  <c:v>45678</c:v>
                </c:pt>
                <c:pt idx="3">
                  <c:v>45700</c:v>
                </c:pt>
                <c:pt idx="4">
                  <c:v>45709</c:v>
                </c:pt>
                <c:pt idx="5">
                  <c:v>45722</c:v>
                </c:pt>
                <c:pt idx="6">
                  <c:v>45732</c:v>
                </c:pt>
                <c:pt idx="7">
                  <c:v>45748</c:v>
                </c:pt>
                <c:pt idx="8">
                  <c:v>45773</c:v>
                </c:pt>
                <c:pt idx="9">
                  <c:v>45809</c:v>
                </c:pt>
                <c:pt idx="10">
                  <c:v>45824</c:v>
                </c:pt>
                <c:pt idx="11">
                  <c:v>45840</c:v>
                </c:pt>
                <c:pt idx="12">
                  <c:v>45870</c:v>
                </c:pt>
                <c:pt idx="13">
                  <c:v>45885</c:v>
                </c:pt>
                <c:pt idx="14">
                  <c:v>45901</c:v>
                </c:pt>
                <c:pt idx="15">
                  <c:v>45916</c:v>
                </c:pt>
                <c:pt idx="16">
                  <c:v>45941</c:v>
                </c:pt>
                <c:pt idx="17">
                  <c:v>45963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1-4546-A618-F22A038B8F66}"/>
            </c:ext>
          </c:extLst>
        </c:ser>
        <c:ser>
          <c:idx val="0"/>
          <c:order val="1"/>
          <c:tx>
            <c:strRef>
              <c:f>'Software Dev Gantt Chart'!$E$10:$E$27</c:f>
              <c:strCache>
                <c:ptCount val="18"/>
                <c:pt idx="0">
                  <c:v>6</c:v>
                </c:pt>
                <c:pt idx="1">
                  <c:v>8</c:v>
                </c:pt>
                <c:pt idx="2">
                  <c:v>20</c:v>
                </c:pt>
                <c:pt idx="3">
                  <c:v>8</c:v>
                </c:pt>
                <c:pt idx="4">
                  <c:v>12</c:v>
                </c:pt>
                <c:pt idx="5">
                  <c:v>9</c:v>
                </c:pt>
                <c:pt idx="6">
                  <c:v>14</c:v>
                </c:pt>
                <c:pt idx="7">
                  <c:v>24</c:v>
                </c:pt>
                <c:pt idx="8">
                  <c:v>29</c:v>
                </c:pt>
                <c:pt idx="9">
                  <c:v>14</c:v>
                </c:pt>
                <c:pt idx="10">
                  <c:v>14</c:v>
                </c:pt>
                <c:pt idx="11">
                  <c:v>28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24</c:v>
                </c:pt>
                <c:pt idx="16">
                  <c:v>20</c:v>
                </c:pt>
                <c:pt idx="17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B31-4546-A618-F22A038B8F6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B31-4546-A618-F22A038B8F6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B31-4546-A618-F22A038B8F6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B31-4546-A618-F22A038B8F6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B31-4546-A618-F22A038B8F6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B31-4546-A618-F22A038B8F6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B31-4546-A618-F22A038B8F66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B31-4546-A618-F22A038B8F66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B31-4546-A618-F22A038B8F66}"/>
              </c:ext>
            </c:extLst>
          </c:dPt>
          <c:cat>
            <c:strRef>
              <c:f>'Software Dev Gantt Chart'!$B$10:$B$27</c:f>
              <c:strCache>
                <c:ptCount val="18"/>
                <c:pt idx="0">
                  <c:v>Project requirements</c:v>
                </c:pt>
                <c:pt idx="1">
                  <c:v>Define scope</c:v>
                </c:pt>
                <c:pt idx="2">
                  <c:v>Risk management plan</c:v>
                </c:pt>
                <c:pt idx="3">
                  <c:v>UI prototypes</c:v>
                </c:pt>
                <c:pt idx="4">
                  <c:v>Technical architecture</c:v>
                </c:pt>
                <c:pt idx="5">
                  <c:v>Design approval</c:v>
                </c:pt>
                <c:pt idx="6">
                  <c:v>Development environment</c:v>
                </c:pt>
                <c:pt idx="7">
                  <c:v>Front-end development</c:v>
                </c:pt>
                <c:pt idx="8">
                  <c:v>Back-end development</c:v>
                </c:pt>
                <c:pt idx="9">
                  <c:v>Database setup</c:v>
                </c:pt>
                <c:pt idx="10">
                  <c:v>API development</c:v>
                </c:pt>
                <c:pt idx="11">
                  <c:v>Unit testing</c:v>
                </c:pt>
                <c:pt idx="12">
                  <c:v>User acceptance test</c:v>
                </c:pt>
                <c:pt idx="13">
                  <c:v>Bug fixes</c:v>
                </c:pt>
                <c:pt idx="14">
                  <c:v>Deployment environment</c:v>
                </c:pt>
                <c:pt idx="15">
                  <c:v>Go-live and release</c:v>
                </c:pt>
                <c:pt idx="16">
                  <c:v>Performance tracking</c:v>
                </c:pt>
                <c:pt idx="17">
                  <c:v>Final project review</c:v>
                </c:pt>
              </c:strCache>
            </c:strRef>
          </c:cat>
          <c:val>
            <c:numRef>
              <c:f>'Software Dev Gantt Chart'!$E$10:$E$27</c:f>
              <c:numCache>
                <c:formatCode>General</c:formatCode>
                <c:ptCount val="18"/>
                <c:pt idx="0">
                  <c:v>6</c:v>
                </c:pt>
                <c:pt idx="1">
                  <c:v>8</c:v>
                </c:pt>
                <c:pt idx="2">
                  <c:v>20</c:v>
                </c:pt>
                <c:pt idx="3">
                  <c:v>8</c:v>
                </c:pt>
                <c:pt idx="4">
                  <c:v>12</c:v>
                </c:pt>
                <c:pt idx="5">
                  <c:v>9</c:v>
                </c:pt>
                <c:pt idx="6">
                  <c:v>14</c:v>
                </c:pt>
                <c:pt idx="7">
                  <c:v>24</c:v>
                </c:pt>
                <c:pt idx="8">
                  <c:v>29</c:v>
                </c:pt>
                <c:pt idx="9">
                  <c:v>14</c:v>
                </c:pt>
                <c:pt idx="10">
                  <c:v>14</c:v>
                </c:pt>
                <c:pt idx="11">
                  <c:v>28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24</c:v>
                </c:pt>
                <c:pt idx="16">
                  <c:v>20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B31-4546-A618-F22A038B8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394144"/>
        <c:axId val="484394928"/>
      </c:barChart>
      <c:catAx>
        <c:axId val="484394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94928"/>
        <c:crosses val="autoZero"/>
        <c:auto val="1"/>
        <c:lblAlgn val="ctr"/>
        <c:lblOffset val="100"/>
        <c:noMultiLvlLbl val="0"/>
      </c:catAx>
      <c:valAx>
        <c:axId val="484394928"/>
        <c:scaling>
          <c:orientation val="minMax"/>
          <c:min val="45650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9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232734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155573</xdr:colOff>
      <xdr:row>36</xdr:row>
      <xdr:rowOff>158749</xdr:rowOff>
    </xdr:from>
    <xdr:to>
      <xdr:col>11</xdr:col>
      <xdr:colOff>1143000</xdr:colOff>
      <xdr:row>68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8A5E1-07C2-42BD-992D-AC3AFAC68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835025</xdr:colOff>
      <xdr:row>4</xdr:row>
      <xdr:rowOff>149225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68678446-77B2-6D0E-B8D8-147EEAE10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43225" cy="1038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1BDB55-A5A5-498C-8E99-268343859075}" name="Table1345" displayName="Table1345" ref="B9:M27" totalsRowShown="0" headerRowDxfId="0" headerRowBorderDxfId="9" tableBorderDxfId="10" totalsRowBorderDxfId="8">
  <tableColumns count="12">
    <tableColumn id="1" xr3:uid="{2D45F43D-7FCF-43ED-A1C6-F30D9F6B95F2}" name="Task Name" dataDxfId="15"/>
    <tableColumn id="2" xr3:uid="{49E18ECD-00FC-41FD-BF82-B3B18089E945}" name="Start  (Date)" dataDxfId="14"/>
    <tableColumn id="3" xr3:uid="{CFA71904-CE2C-4EF2-AC93-C093527E0175}" name="End  (Date)" dataDxfId="13"/>
    <tableColumn id="9" xr3:uid="{28012385-8473-443E-AC52-07C57E19F0C4}" name="Actual Days" dataDxfId="4">
      <calculatedColumnFormula>D10-C10</calculatedColumnFormula>
    </tableColumn>
    <tableColumn id="4" xr3:uid="{1D100E01-38B3-440F-AA15-58DD845943ED}" name="Estimated Days" dataDxfId="5"/>
    <tableColumn id="12" xr3:uid="{42060972-68C2-4243-8621-8665E923048B}" name="On time" dataDxfId="2">
      <calculatedColumnFormula>Table1345[[#This Row],[Estimated Days]]-Table1345[[#This Row],[Actual Days]]</calculatedColumnFormula>
    </tableColumn>
    <tableColumn id="8" xr3:uid="{0DBE3519-460A-4BB3-9EEC-A722488F63C5}" name="Task Status" dataDxfId="6"/>
    <tableColumn id="5" xr3:uid="{DCFAC969-74A4-49E2-ADF6-D4A4BB0A0876}" name="Priority" dataDxfId="12"/>
    <tableColumn id="7" xr3:uid="{EE29B575-7A82-4954-8252-ACBA1C1AA49C}" name="Percentage of Completion" dataDxfId="11"/>
    <tableColumn id="6" xr3:uid="{2CCD91B1-42B0-4E31-98D3-4E6C3E13C55B}" name="Dependencies" dataDxfId="7"/>
    <tableColumn id="10" xr3:uid="{21919C7E-5DAE-4A6D-8890-0BCAB85455A3}" name="Comments" dataDxfId="3"/>
    <tableColumn id="13" xr3:uid="{3095D4C0-9BF5-4650-ACE4-9FB4E5531068}" name="Assigned To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DF49-0E82-45AA-84F0-9FDEF1ED9D00}">
  <dimension ref="A1:AO45"/>
  <sheetViews>
    <sheetView tabSelected="1" zoomScale="50" zoomScaleNormal="50" workbookViewId="0">
      <selection activeCell="F5" sqref="F5"/>
    </sheetView>
  </sheetViews>
  <sheetFormatPr defaultColWidth="8.88671875" defaultRowHeight="14.4" x14ac:dyDescent="0.3"/>
  <cols>
    <col min="1" max="1" width="2.44140625" style="3" customWidth="1"/>
    <col min="2" max="2" width="28.33203125" style="3" customWidth="1"/>
    <col min="3" max="5" width="13.6640625" style="8" customWidth="1"/>
    <col min="6" max="7" width="12.109375" style="15" customWidth="1"/>
    <col min="8" max="8" width="10.109375" style="8" customWidth="1"/>
    <col min="9" max="9" width="14.6640625" style="22" customWidth="1"/>
    <col min="10" max="10" width="40.77734375" style="3" customWidth="1"/>
    <col min="11" max="11" width="32.77734375" style="3" customWidth="1"/>
    <col min="12" max="12" width="20.77734375" style="3" customWidth="1"/>
    <col min="13" max="13" width="25.109375" style="3" customWidth="1"/>
    <col min="14" max="15" width="8.88671875" style="3"/>
    <col min="16" max="16" width="22" style="3" customWidth="1"/>
    <col min="17" max="27" width="8.88671875" style="3"/>
    <col min="28" max="28" width="27.5546875" style="3" customWidth="1"/>
    <col min="29" max="16384" width="8.88671875" style="3"/>
  </cols>
  <sheetData>
    <row r="1" spans="1:41" x14ac:dyDescent="0.3">
      <c r="H1" s="7"/>
      <c r="I1" s="2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1" x14ac:dyDescent="0.3">
      <c r="H2" s="7"/>
      <c r="I2" s="2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1" ht="21" customHeight="1" x14ac:dyDescent="0.3">
      <c r="B3" s="1"/>
      <c r="C3" s="9"/>
      <c r="D3" s="11"/>
      <c r="E3" s="11"/>
      <c r="F3" s="24" t="s">
        <v>38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1" ht="21" customHeight="1" x14ac:dyDescent="0.4">
      <c r="A4" s="6"/>
      <c r="B4" s="1"/>
      <c r="C4" s="9"/>
      <c r="D4" s="11"/>
      <c r="E4" s="11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1" ht="21" x14ac:dyDescent="0.4">
      <c r="A5" s="6"/>
      <c r="B5" s="19" t="s">
        <v>0</v>
      </c>
      <c r="C5" s="9"/>
      <c r="D5" s="11"/>
      <c r="E5" s="11"/>
      <c r="F5" s="16"/>
      <c r="G5" s="16"/>
      <c r="H5" s="7"/>
      <c r="I5" s="2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1" x14ac:dyDescent="0.3">
      <c r="A6" s="4"/>
      <c r="B6" s="4"/>
      <c r="C6" s="10"/>
      <c r="D6" s="10"/>
      <c r="E6" s="10"/>
      <c r="F6" s="17"/>
      <c r="G6" s="17"/>
      <c r="H6" s="10"/>
      <c r="I6" s="2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1" x14ac:dyDescent="0.3">
      <c r="A7" s="2"/>
      <c r="B7" s="2"/>
      <c r="C7" s="7"/>
      <c r="D7" s="7"/>
      <c r="E7" s="7"/>
      <c r="F7" s="18"/>
      <c r="G7" s="18"/>
      <c r="H7" s="7"/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1" x14ac:dyDescent="0.3">
      <c r="A8" s="2"/>
      <c r="B8" s="2"/>
      <c r="C8" s="7"/>
      <c r="D8" s="7"/>
      <c r="E8" s="7"/>
      <c r="F8" s="18"/>
      <c r="G8" s="18"/>
      <c r="H8" s="7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1" ht="40.5" customHeight="1" x14ac:dyDescent="0.3">
      <c r="A9" s="2"/>
      <c r="B9" s="26" t="s">
        <v>1</v>
      </c>
      <c r="C9" s="27" t="s">
        <v>2</v>
      </c>
      <c r="D9" s="27" t="s">
        <v>3</v>
      </c>
      <c r="E9" s="27" t="s">
        <v>28</v>
      </c>
      <c r="F9" s="30" t="s">
        <v>27</v>
      </c>
      <c r="G9" s="34" t="s">
        <v>37</v>
      </c>
      <c r="H9" s="27" t="s">
        <v>36</v>
      </c>
      <c r="I9" s="27" t="s">
        <v>6</v>
      </c>
      <c r="J9" s="28" t="s">
        <v>7</v>
      </c>
      <c r="K9" s="34" t="s">
        <v>29</v>
      </c>
      <c r="L9" s="35" t="s">
        <v>30</v>
      </c>
      <c r="M9" s="29" t="s">
        <v>26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8" x14ac:dyDescent="0.35">
      <c r="A10" s="2"/>
      <c r="B10" s="12" t="s">
        <v>13</v>
      </c>
      <c r="C10" s="13">
        <v>45661</v>
      </c>
      <c r="D10" s="13">
        <v>45667</v>
      </c>
      <c r="E10" s="14">
        <f>D10-C10</f>
        <v>6</v>
      </c>
      <c r="F10" s="32">
        <v>4</v>
      </c>
      <c r="G10" s="32">
        <f>Table1345[[#This Row],[Estimated Days]]-Table1345[[#This Row],[Actual Days]]</f>
        <v>-2</v>
      </c>
      <c r="H10" s="14" t="s">
        <v>31</v>
      </c>
      <c r="I10" s="23" t="s">
        <v>4</v>
      </c>
      <c r="J10" s="39">
        <v>100</v>
      </c>
      <c r="K10" s="36"/>
      <c r="L10" s="3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8" x14ac:dyDescent="0.35">
      <c r="A11" s="2"/>
      <c r="B11" s="12" t="s">
        <v>14</v>
      </c>
      <c r="C11" s="13">
        <v>45668</v>
      </c>
      <c r="D11" s="13">
        <v>45676</v>
      </c>
      <c r="E11" s="14">
        <f>D11-C11</f>
        <v>8</v>
      </c>
      <c r="F11" s="31">
        <v>8</v>
      </c>
      <c r="G11" s="32">
        <f>Table1345[[#This Row],[Estimated Days]]-Table1345[[#This Row],[Actual Days]]</f>
        <v>0</v>
      </c>
      <c r="H11" s="14" t="s">
        <v>31</v>
      </c>
      <c r="I11" s="23" t="s">
        <v>4</v>
      </c>
      <c r="J11" s="39">
        <v>100</v>
      </c>
      <c r="K11" s="36"/>
      <c r="L11" s="3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" x14ac:dyDescent="0.35">
      <c r="A12" s="2"/>
      <c r="B12" s="12" t="s">
        <v>15</v>
      </c>
      <c r="C12" s="13">
        <v>45678</v>
      </c>
      <c r="D12" s="13">
        <v>45698</v>
      </c>
      <c r="E12" s="14">
        <f>D12-C12</f>
        <v>20</v>
      </c>
      <c r="F12" s="31">
        <v>20</v>
      </c>
      <c r="G12" s="32">
        <f>Table1345[[#This Row],[Estimated Days]]-Table1345[[#This Row],[Actual Days]]</f>
        <v>0</v>
      </c>
      <c r="H12" s="14" t="s">
        <v>31</v>
      </c>
      <c r="I12" s="23" t="s">
        <v>5</v>
      </c>
      <c r="J12" s="39">
        <v>100</v>
      </c>
      <c r="K12" s="36"/>
      <c r="L12" s="3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8" x14ac:dyDescent="0.35">
      <c r="A13" s="2"/>
      <c r="B13" s="12" t="s">
        <v>16</v>
      </c>
      <c r="C13" s="13">
        <v>45700</v>
      </c>
      <c r="D13" s="13">
        <v>45708</v>
      </c>
      <c r="E13" s="14">
        <f>D13-C13</f>
        <v>8</v>
      </c>
      <c r="F13" s="31">
        <v>8</v>
      </c>
      <c r="G13" s="32">
        <f>Table1345[[#This Row],[Estimated Days]]-Table1345[[#This Row],[Actual Days]]</f>
        <v>0</v>
      </c>
      <c r="H13" s="14" t="s">
        <v>31</v>
      </c>
      <c r="I13" s="23" t="s">
        <v>5</v>
      </c>
      <c r="J13" s="39">
        <v>100</v>
      </c>
      <c r="K13" s="36"/>
      <c r="L13" s="3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8" x14ac:dyDescent="0.35">
      <c r="A14" s="2"/>
      <c r="B14" s="12" t="s">
        <v>17</v>
      </c>
      <c r="C14" s="13">
        <v>45709</v>
      </c>
      <c r="D14" s="13">
        <v>45721</v>
      </c>
      <c r="E14" s="14">
        <f>D14-C14</f>
        <v>12</v>
      </c>
      <c r="F14" s="31">
        <v>10</v>
      </c>
      <c r="G14" s="32">
        <f>Table1345[[#This Row],[Estimated Days]]-Table1345[[#This Row],[Actual Days]]</f>
        <v>-2</v>
      </c>
      <c r="H14" s="14" t="s">
        <v>31</v>
      </c>
      <c r="I14" s="23" t="s">
        <v>4</v>
      </c>
      <c r="J14" s="39">
        <v>100</v>
      </c>
      <c r="K14" s="36"/>
      <c r="L14" s="3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8" x14ac:dyDescent="0.35">
      <c r="A15" s="2"/>
      <c r="B15" s="12" t="s">
        <v>18</v>
      </c>
      <c r="C15" s="13">
        <v>45722</v>
      </c>
      <c r="D15" s="13">
        <v>45731</v>
      </c>
      <c r="E15" s="14">
        <f>D15-C15</f>
        <v>9</v>
      </c>
      <c r="F15" s="31">
        <v>8</v>
      </c>
      <c r="G15" s="32">
        <f>Table1345[[#This Row],[Estimated Days]]-Table1345[[#This Row],[Actual Days]]</f>
        <v>-1</v>
      </c>
      <c r="H15" s="14" t="s">
        <v>31</v>
      </c>
      <c r="I15" s="23" t="s">
        <v>5</v>
      </c>
      <c r="J15" s="39">
        <v>100</v>
      </c>
      <c r="K15" s="36"/>
      <c r="L15" s="3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8" x14ac:dyDescent="0.35">
      <c r="A16" s="2"/>
      <c r="B16" s="12" t="s">
        <v>19</v>
      </c>
      <c r="C16" s="13">
        <v>45732</v>
      </c>
      <c r="D16" s="13">
        <v>45746</v>
      </c>
      <c r="E16" s="14">
        <f>D16-C16</f>
        <v>14</v>
      </c>
      <c r="F16" s="31">
        <v>13</v>
      </c>
      <c r="G16" s="32">
        <f>Table1345[[#This Row],[Estimated Days]]-Table1345[[#This Row],[Actual Days]]</f>
        <v>-1</v>
      </c>
      <c r="H16" s="14" t="s">
        <v>31</v>
      </c>
      <c r="I16" s="23" t="s">
        <v>4</v>
      </c>
      <c r="J16" s="39">
        <v>33</v>
      </c>
      <c r="K16" s="36"/>
      <c r="L16" s="3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8" x14ac:dyDescent="0.35">
      <c r="A17" s="2"/>
      <c r="B17" s="12" t="s">
        <v>8</v>
      </c>
      <c r="C17" s="13">
        <v>45748</v>
      </c>
      <c r="D17" s="13">
        <v>45772</v>
      </c>
      <c r="E17" s="14">
        <f>D17-C17</f>
        <v>24</v>
      </c>
      <c r="F17" s="31">
        <v>20</v>
      </c>
      <c r="G17" s="32">
        <f>Table1345[[#This Row],[Estimated Days]]-Table1345[[#This Row],[Actual Days]]</f>
        <v>-4</v>
      </c>
      <c r="H17" s="14" t="s">
        <v>31</v>
      </c>
      <c r="I17" s="23" t="s">
        <v>4</v>
      </c>
      <c r="J17" s="39">
        <v>15</v>
      </c>
      <c r="K17" s="36"/>
      <c r="L17" s="3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8" x14ac:dyDescent="0.35">
      <c r="A18" s="2"/>
      <c r="B18" s="12" t="s">
        <v>9</v>
      </c>
      <c r="C18" s="13">
        <v>45773</v>
      </c>
      <c r="D18" s="13">
        <v>45802</v>
      </c>
      <c r="E18" s="14">
        <f>D18-C18</f>
        <v>29</v>
      </c>
      <c r="F18" s="31">
        <v>35</v>
      </c>
      <c r="G18" s="32">
        <f>Table1345[[#This Row],[Estimated Days]]-Table1345[[#This Row],[Actual Days]]</f>
        <v>6</v>
      </c>
      <c r="H18" s="14" t="s">
        <v>31</v>
      </c>
      <c r="I18" s="23" t="s">
        <v>4</v>
      </c>
      <c r="J18" s="39">
        <v>70</v>
      </c>
      <c r="K18" s="36"/>
      <c r="L18" s="3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8" x14ac:dyDescent="0.35">
      <c r="A19" s="2"/>
      <c r="B19" s="12" t="s">
        <v>20</v>
      </c>
      <c r="C19" s="13">
        <v>45809</v>
      </c>
      <c r="D19" s="13">
        <v>45823</v>
      </c>
      <c r="E19" s="14">
        <f>D19-C19</f>
        <v>14</v>
      </c>
      <c r="F19" s="31">
        <v>14</v>
      </c>
      <c r="G19" s="32">
        <f>Table1345[[#This Row],[Estimated Days]]-Table1345[[#This Row],[Actual Days]]</f>
        <v>0</v>
      </c>
      <c r="H19" s="14" t="s">
        <v>31</v>
      </c>
      <c r="I19" s="23" t="s">
        <v>5</v>
      </c>
      <c r="J19" s="39">
        <v>60</v>
      </c>
      <c r="K19" s="36"/>
      <c r="L19" s="3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8" x14ac:dyDescent="0.35">
      <c r="A20" s="2"/>
      <c r="B20" s="12" t="s">
        <v>21</v>
      </c>
      <c r="C20" s="13">
        <v>45824</v>
      </c>
      <c r="D20" s="13">
        <v>45838</v>
      </c>
      <c r="E20" s="14">
        <f>D20-C20</f>
        <v>14</v>
      </c>
      <c r="F20" s="31">
        <v>14</v>
      </c>
      <c r="G20" s="32">
        <f>Table1345[[#This Row],[Estimated Days]]-Table1345[[#This Row],[Actual Days]]</f>
        <v>0</v>
      </c>
      <c r="H20" s="14" t="s">
        <v>31</v>
      </c>
      <c r="I20" s="23" t="s">
        <v>5</v>
      </c>
      <c r="J20" s="39">
        <v>50</v>
      </c>
      <c r="K20" s="36"/>
      <c r="L20" s="3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8" x14ac:dyDescent="0.35">
      <c r="A21" s="2"/>
      <c r="B21" s="12" t="s">
        <v>10</v>
      </c>
      <c r="C21" s="13">
        <v>45840</v>
      </c>
      <c r="D21" s="13">
        <v>45868</v>
      </c>
      <c r="E21" s="14">
        <f>D21-C21</f>
        <v>28</v>
      </c>
      <c r="F21" s="31">
        <v>28</v>
      </c>
      <c r="G21" s="32">
        <f>Table1345[[#This Row],[Estimated Days]]-Table1345[[#This Row],[Actual Days]]</f>
        <v>0</v>
      </c>
      <c r="H21" s="14" t="s">
        <v>31</v>
      </c>
      <c r="I21" s="23" t="s">
        <v>5</v>
      </c>
      <c r="J21" s="39">
        <v>12</v>
      </c>
      <c r="K21" s="36"/>
      <c r="L21" s="3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8" x14ac:dyDescent="0.35">
      <c r="A22" s="2"/>
      <c r="B22" s="12" t="s">
        <v>22</v>
      </c>
      <c r="C22" s="13">
        <v>45870</v>
      </c>
      <c r="D22" s="13">
        <v>45884</v>
      </c>
      <c r="E22" s="14">
        <f>D22-C22</f>
        <v>14</v>
      </c>
      <c r="F22" s="31">
        <v>14</v>
      </c>
      <c r="G22" s="32">
        <f>Table1345[[#This Row],[Estimated Days]]-Table1345[[#This Row],[Actual Days]]</f>
        <v>0</v>
      </c>
      <c r="H22" s="14" t="s">
        <v>31</v>
      </c>
      <c r="I22" s="23" t="s">
        <v>4</v>
      </c>
      <c r="J22" s="39">
        <v>30</v>
      </c>
      <c r="K22" s="36"/>
      <c r="L22" s="3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8" x14ac:dyDescent="0.35">
      <c r="A23" s="2"/>
      <c r="B23" s="12" t="s">
        <v>23</v>
      </c>
      <c r="C23" s="13">
        <v>45885</v>
      </c>
      <c r="D23" s="13">
        <v>45899</v>
      </c>
      <c r="E23" s="14">
        <f>D23-C23</f>
        <v>14</v>
      </c>
      <c r="F23" s="31">
        <v>10</v>
      </c>
      <c r="G23" s="32">
        <f>Table1345[[#This Row],[Estimated Days]]-Table1345[[#This Row],[Actual Days]]</f>
        <v>-4</v>
      </c>
      <c r="H23" s="14" t="s">
        <v>31</v>
      </c>
      <c r="I23" s="23" t="s">
        <v>4</v>
      </c>
      <c r="J23" s="39">
        <v>100</v>
      </c>
      <c r="K23" s="36"/>
      <c r="L23" s="3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8" x14ac:dyDescent="0.35">
      <c r="A24" s="2"/>
      <c r="B24" s="12" t="s">
        <v>24</v>
      </c>
      <c r="C24" s="13">
        <v>45901</v>
      </c>
      <c r="D24" s="13">
        <v>45915</v>
      </c>
      <c r="E24" s="14">
        <f>D24-C24</f>
        <v>14</v>
      </c>
      <c r="F24" s="31">
        <v>19</v>
      </c>
      <c r="G24" s="32">
        <f>Table1345[[#This Row],[Estimated Days]]-Table1345[[#This Row],[Actual Days]]</f>
        <v>5</v>
      </c>
      <c r="H24" s="14" t="s">
        <v>31</v>
      </c>
      <c r="I24" s="23" t="s">
        <v>4</v>
      </c>
      <c r="J24" s="39">
        <v>100</v>
      </c>
      <c r="K24" s="36"/>
      <c r="L24" s="3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8" x14ac:dyDescent="0.35">
      <c r="A25" s="2"/>
      <c r="B25" s="12" t="s">
        <v>11</v>
      </c>
      <c r="C25" s="13">
        <v>45916</v>
      </c>
      <c r="D25" s="13">
        <v>45940</v>
      </c>
      <c r="E25" s="14">
        <f>D25-C25</f>
        <v>24</v>
      </c>
      <c r="F25" s="31">
        <v>24</v>
      </c>
      <c r="G25" s="32">
        <f>Table1345[[#This Row],[Estimated Days]]-Table1345[[#This Row],[Actual Days]]</f>
        <v>0</v>
      </c>
      <c r="H25" s="14" t="s">
        <v>31</v>
      </c>
      <c r="I25" s="23" t="s">
        <v>4</v>
      </c>
      <c r="J25" s="39">
        <v>100</v>
      </c>
      <c r="K25" s="36"/>
      <c r="L25" s="3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9.5" customHeight="1" x14ac:dyDescent="0.3">
      <c r="A26" s="2"/>
      <c r="B26" s="12" t="s">
        <v>25</v>
      </c>
      <c r="C26" s="13">
        <v>45941</v>
      </c>
      <c r="D26" s="13">
        <v>45961</v>
      </c>
      <c r="E26" s="14">
        <f>D26-C26</f>
        <v>20</v>
      </c>
      <c r="F26" s="31">
        <v>20</v>
      </c>
      <c r="G26" s="32">
        <f>Table1345[[#This Row],[Estimated Days]]-Table1345[[#This Row],[Actual Days]]</f>
        <v>0</v>
      </c>
      <c r="H26" s="14" t="s">
        <v>31</v>
      </c>
      <c r="I26" s="23" t="s">
        <v>5</v>
      </c>
      <c r="J26" s="39">
        <v>100</v>
      </c>
      <c r="K26" s="37"/>
      <c r="L26" s="3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9.5" customHeight="1" x14ac:dyDescent="0.3">
      <c r="A27" s="2"/>
      <c r="B27" s="12" t="s">
        <v>12</v>
      </c>
      <c r="C27" s="13">
        <v>45963</v>
      </c>
      <c r="D27" s="13">
        <v>45969</v>
      </c>
      <c r="E27" s="14">
        <f>D27-C27</f>
        <v>6</v>
      </c>
      <c r="F27" s="33">
        <v>6</v>
      </c>
      <c r="G27" s="32">
        <f>Table1345[[#This Row],[Estimated Days]]-Table1345[[#This Row],[Actual Days]]</f>
        <v>0</v>
      </c>
      <c r="H27" s="14" t="s">
        <v>31</v>
      </c>
      <c r="I27" s="23" t="s">
        <v>5</v>
      </c>
      <c r="J27" s="39">
        <v>100</v>
      </c>
      <c r="K27" s="37"/>
      <c r="L27" s="3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3">
      <c r="A28" s="2"/>
      <c r="B28" s="2"/>
      <c r="C28" s="7"/>
      <c r="D28" s="7"/>
      <c r="E28" s="7"/>
      <c r="F28" s="18"/>
      <c r="G28" s="18"/>
      <c r="H28" s="7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1" x14ac:dyDescent="0.3">
      <c r="A29" s="2"/>
      <c r="B29" s="2"/>
      <c r="C29" s="7"/>
      <c r="D29" s="7"/>
      <c r="E29" s="7"/>
      <c r="F29" s="18"/>
      <c r="G29" s="18"/>
      <c r="H29" s="7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1" x14ac:dyDescent="0.3">
      <c r="A30" s="2"/>
      <c r="B30" s="2"/>
      <c r="C30" s="7"/>
      <c r="D30" s="7"/>
      <c r="E30" s="7"/>
      <c r="F30" s="18"/>
      <c r="G30" s="18"/>
      <c r="H30" s="7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1" x14ac:dyDescent="0.3">
      <c r="A31" s="2"/>
      <c r="B31" s="2"/>
      <c r="C31" s="7"/>
      <c r="D31" s="7"/>
      <c r="E31" s="7"/>
      <c r="F31" s="18"/>
      <c r="G31" s="18"/>
      <c r="H31" s="7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1" x14ac:dyDescent="0.3">
      <c r="A32" s="2"/>
      <c r="B32" s="38" t="s">
        <v>32</v>
      </c>
      <c r="C32" s="13">
        <f>C10</f>
        <v>45661</v>
      </c>
      <c r="D32" s="7"/>
      <c r="E32" s="7"/>
      <c r="F32" s="18"/>
      <c r="G32" s="18"/>
      <c r="H32" s="7"/>
      <c r="I32" s="2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x14ac:dyDescent="0.3">
      <c r="A33" s="2"/>
      <c r="B33" s="38" t="s">
        <v>33</v>
      </c>
      <c r="C33" s="13">
        <f>D27</f>
        <v>45969</v>
      </c>
      <c r="D33" s="7"/>
      <c r="E33" s="7"/>
      <c r="F33" s="18"/>
      <c r="G33" s="18"/>
      <c r="H33" s="7"/>
      <c r="I33" s="2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3">
      <c r="A34" s="2"/>
      <c r="B34" s="38" t="s">
        <v>34</v>
      </c>
      <c r="C34" s="23">
        <f>SUM(Table1345[Estimated Days])</f>
        <v>275</v>
      </c>
      <c r="D34" s="7"/>
      <c r="E34" s="7"/>
      <c r="F34" s="18"/>
      <c r="G34" s="18"/>
      <c r="H34" s="7"/>
      <c r="I34" s="2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x14ac:dyDescent="0.3">
      <c r="A35" s="2"/>
      <c r="B35" s="38" t="s">
        <v>28</v>
      </c>
      <c r="C35" s="23">
        <f>SUM(Table1345[Actual Days])</f>
        <v>278</v>
      </c>
      <c r="D35" s="7"/>
      <c r="E35" s="7"/>
      <c r="F35" s="18"/>
      <c r="G35" s="18"/>
      <c r="H35" s="7"/>
      <c r="I35" s="2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x14ac:dyDescent="0.3">
      <c r="A36" s="2"/>
      <c r="B36" s="38" t="s">
        <v>35</v>
      </c>
      <c r="C36" s="23">
        <f>C34-C35</f>
        <v>-3</v>
      </c>
      <c r="D36" s="7"/>
      <c r="E36" s="7"/>
      <c r="F36" s="18"/>
      <c r="G36" s="18"/>
      <c r="H36" s="7"/>
      <c r="I36" s="20"/>
      <c r="J36" s="2"/>
      <c r="K36" s="2"/>
      <c r="L36" s="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x14ac:dyDescent="0.3">
      <c r="A37" s="2"/>
      <c r="B37" s="2"/>
      <c r="C37" s="7"/>
      <c r="D37" s="7"/>
      <c r="E37" s="7"/>
      <c r="F37" s="18"/>
      <c r="G37" s="18"/>
      <c r="H37" s="7"/>
      <c r="I37" s="20"/>
      <c r="J37" s="2"/>
      <c r="K37" s="2"/>
      <c r="L37" s="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x14ac:dyDescent="0.3">
      <c r="A38" s="2"/>
      <c r="B38" s="2"/>
      <c r="C38" s="7"/>
      <c r="D38" s="7"/>
      <c r="E38" s="7"/>
      <c r="F38" s="18"/>
      <c r="G38" s="18"/>
      <c r="H38" s="7"/>
      <c r="I38" s="20"/>
      <c r="J38" s="2"/>
      <c r="K38" s="2"/>
      <c r="L38" s="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x14ac:dyDescent="0.3">
      <c r="A39" s="2"/>
      <c r="B39" s="2"/>
      <c r="C39" s="7"/>
      <c r="D39" s="7"/>
      <c r="E39" s="7"/>
      <c r="F39" s="18"/>
      <c r="G39" s="18"/>
      <c r="H39" s="7"/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5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x14ac:dyDescent="0.3">
      <c r="A40" s="2"/>
      <c r="B40" s="2"/>
      <c r="C40" s="7"/>
      <c r="D40" s="7"/>
      <c r="E40" s="7"/>
      <c r="F40" s="18"/>
      <c r="G40" s="18"/>
      <c r="H40" s="7"/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x14ac:dyDescent="0.3">
      <c r="A41" s="2"/>
      <c r="B41" s="2"/>
      <c r="C41" s="7"/>
      <c r="D41" s="7"/>
      <c r="E41" s="7"/>
      <c r="F41" s="18"/>
      <c r="G41" s="18"/>
      <c r="H41" s="7"/>
      <c r="I41" s="2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x14ac:dyDescent="0.3">
      <c r="A42" s="2"/>
      <c r="B42" s="2"/>
      <c r="C42" s="7"/>
      <c r="D42" s="7"/>
      <c r="E42" s="7"/>
      <c r="F42" s="18"/>
      <c r="G42" s="18"/>
      <c r="H42" s="7"/>
      <c r="I42" s="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x14ac:dyDescent="0.3">
      <c r="A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x14ac:dyDescent="0.3">
      <c r="A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23.4" x14ac:dyDescent="0.45"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</row>
  </sheetData>
  <mergeCells count="2">
    <mergeCell ref="F3:P4"/>
    <mergeCell ref="U45:AN45"/>
  </mergeCells>
  <conditionalFormatting sqref="C36">
    <cfRule type="colorScale" priority="4">
      <colorScale>
        <cfvo type="min"/>
        <cfvo type="percentile" val="2"/>
        <cfvo type="num" val="10"/>
        <color rgb="FF00B050"/>
        <color rgb="FFFFEB84"/>
        <color rgb="FFFF0000"/>
      </colorScale>
    </cfRule>
  </conditionalFormatting>
  <conditionalFormatting sqref="J10:J27">
    <cfRule type="dataBar" priority="1">
      <dataBar>
        <cfvo type="num" val="0"/>
        <cfvo type="num" val="100"/>
        <color theme="9"/>
      </dataBar>
      <extLst>
        <ext xmlns:x14="http://schemas.microsoft.com/office/spreadsheetml/2009/9/main" uri="{B025F937-C7B1-47D3-B67F-A62EFF666E3E}">
          <x14:id>{ECEFC1A9-A0FB-42FF-A130-F7EAA5DB42BF}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DD1F2D4-D773-4BE1-8C69-9BAD8D263B2B}">
            <x14:iconSet showValue="0" custom="1">
              <x14:cfvo type="percent">
                <xm:f>0</xm:f>
              </x14:cfvo>
              <x14:cfvo type="formula">
                <xm:f>$F$10-$E$10</xm:f>
              </x14:cfvo>
              <x14:cfvo type="formula">
                <xm:f>$F$10-$E$10+4</xm:f>
              </x14:cfvo>
              <x14:cfIcon iconSet="3Flags" iconId="0"/>
              <x14:cfIcon iconSet="3TrafficLights1" iconId="1"/>
              <x14:cfIcon iconSet="3Symbols" iconId="2"/>
            </x14:iconSet>
          </x14:cfRule>
          <xm:sqref>G10:G27</xm:sqref>
        </x14:conditionalFormatting>
        <x14:conditionalFormatting xmlns:xm="http://schemas.microsoft.com/office/excel/2006/main">
          <x14:cfRule type="dataBar" id="{ECEFC1A9-A0FB-42FF-A130-F7EAA5DB42BF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J10:J27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221D25443EF43AF02FBB22799F6FB" ma:contentTypeVersion="17" ma:contentTypeDescription="Create a new document." ma:contentTypeScope="" ma:versionID="0984975e6bb6b71258426e1614329cd4">
  <xsd:schema xmlns:xsd="http://www.w3.org/2001/XMLSchema" xmlns:xs="http://www.w3.org/2001/XMLSchema" xmlns:p="http://schemas.microsoft.com/office/2006/metadata/properties" xmlns:ns2="acff1d59-5388-4da2-9af0-30acecfb30f6" xmlns:ns3="45aac7ba-0665-48a0-b431-9863c8ca53d2" targetNamespace="http://schemas.microsoft.com/office/2006/metadata/properties" ma:root="true" ma:fieldsID="fe036fcd6cd7f5b1cac080a59032e66e" ns2:_="" ns3:_="">
    <xsd:import namespace="acff1d59-5388-4da2-9af0-30acecfb30f6"/>
    <xsd:import namespace="45aac7ba-0665-48a0-b431-9863c8ca53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f1d59-5388-4da2-9af0-30acecfb30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eba93fa-5e2a-4e95-bca4-166422ac53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ac7ba-0665-48a0-b431-9863c8ca53d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05ac3cf-0b53-41bc-83a3-3bb594605adc}" ma:internalName="TaxCatchAll" ma:showField="CatchAllData" ma:web="45aac7ba-0665-48a0-b431-9863c8ca53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ff1d59-5388-4da2-9af0-30acecfb30f6">
      <Terms xmlns="http://schemas.microsoft.com/office/infopath/2007/PartnerControls"/>
    </lcf76f155ced4ddcb4097134ff3c332f>
    <TaxCatchAll xmlns="45aac7ba-0665-48a0-b431-9863c8ca53d2" xsi:nil="true"/>
  </documentManagement>
</p:properties>
</file>

<file path=customXml/itemProps1.xml><?xml version="1.0" encoding="utf-8"?>
<ds:datastoreItem xmlns:ds="http://schemas.openxmlformats.org/officeDocument/2006/customXml" ds:itemID="{4598CE8B-F250-40BE-8846-FD16A9D07036}"/>
</file>

<file path=customXml/itemProps2.xml><?xml version="1.0" encoding="utf-8"?>
<ds:datastoreItem xmlns:ds="http://schemas.openxmlformats.org/officeDocument/2006/customXml" ds:itemID="{97E56DE6-A52D-4C30-A9EA-16203FE07C7A}"/>
</file>

<file path=customXml/itemProps3.xml><?xml version="1.0" encoding="utf-8"?>
<ds:datastoreItem xmlns:ds="http://schemas.openxmlformats.org/officeDocument/2006/customXml" ds:itemID="{572D9E28-0FCF-42C1-8184-00122A578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Software Dev 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CraigB</dc:creator>
  <cp:lastModifiedBy>Mikołaj Zieliński</cp:lastModifiedBy>
  <dcterms:created xsi:type="dcterms:W3CDTF">2018-04-09T21:25:00Z</dcterms:created>
  <dcterms:modified xsi:type="dcterms:W3CDTF">2025-10-29T12:40:48Z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0x0101008A4221D25443EF43AF02FBB22799F6FB</vt:lpwstr>
  </property>
</Properties>
</file>